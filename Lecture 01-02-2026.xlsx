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5895F94-4F7A-4B1A-A4C5-69691291F622}" xr6:coauthVersionLast="47" xr6:coauthVersionMax="47" xr10:uidLastSave="{00000000-0000-0000-0000-000000000000}"/>
  <bookViews>
    <workbookView xWindow="-110" yWindow="-110" windowWidth="19420" windowHeight="10300" xr2:uid="{8D208DA5-E6BA-46EB-B0C2-531269470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" l="1"/>
  <c r="R43" i="1" a="1"/>
  <c r="R43" i="1" s="1"/>
  <c r="R40" i="1"/>
  <c r="R37" i="1"/>
  <c r="R34" i="1"/>
  <c r="R31" i="1"/>
  <c r="R28" i="1"/>
  <c r="S28" i="1" s="1"/>
  <c r="G6" i="1"/>
  <c r="G5" i="1"/>
  <c r="G7" i="1"/>
  <c r="G4" i="1"/>
  <c r="G9" i="1"/>
  <c r="G3" i="1"/>
  <c r="G8" i="1"/>
  <c r="G2" i="1"/>
  <c r="B12" i="1" s="1" a="1"/>
  <c r="B12" i="1" s="1"/>
  <c r="R25" i="1"/>
  <c r="R22" i="1"/>
  <c r="R19" i="1"/>
  <c r="R16" i="1"/>
  <c r="R13" i="1"/>
  <c r="R10" i="1"/>
  <c r="R7" i="1"/>
  <c r="R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<sst xmlns="http://schemas.openxmlformats.org/spreadsheetml/2006/main" count="131" uniqueCount="79">
  <si>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</si>
  <si>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</si>
  <si>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</si>
  <si>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</si>
  <si>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</si>
  <si>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</si>
  <si>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</si>
  <si>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</si>
  <si>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</si>
  <si>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</si>
  <si>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</si>
  <si>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</si>
  <si>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</si>
  <si>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</si>
  <si>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</si>
  <si>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</si>
  <si>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</si>
  <si>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</si>
  <si>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</si>
  <si>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</si>
  <si>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</si>
  <si>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</si>
  <si>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</si>
  <si>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</si>
  <si>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</si>
  <si>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</si>
  <si>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</si>
  <si>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</si>
  <si>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</si>
  <si>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</si>
  <si>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</si>
  <si>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</si>
  <si>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</si>
  <si>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</si>
  <si>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Employee ID</t>
  </si>
  <si>
    <t>Task-1</t>
  </si>
  <si>
    <t>Task-2</t>
  </si>
  <si>
    <t>Task-3</t>
  </si>
  <si>
    <t>Task-4</t>
  </si>
  <si>
    <t>Task-5</t>
  </si>
  <si>
    <t>Not Found</t>
  </si>
  <si>
    <t>E109</t>
  </si>
  <si>
    <t>Task-6</t>
  </si>
  <si>
    <t>Joining Year</t>
  </si>
  <si>
    <t>Task-7</t>
  </si>
  <si>
    <t>Bonus</t>
  </si>
  <si>
    <t>Task-8</t>
  </si>
  <si>
    <t>Task-9</t>
  </si>
  <si>
    <t>Bonus Amount</t>
  </si>
  <si>
    <t>Task-10</t>
  </si>
  <si>
    <t>DEO</t>
  </si>
  <si>
    <t>Task-11</t>
  </si>
  <si>
    <t>e101</t>
  </si>
  <si>
    <t>Task-12</t>
  </si>
  <si>
    <t>Task-13</t>
  </si>
  <si>
    <t>Task-14</t>
  </si>
  <si>
    <t>E999</t>
  </si>
  <si>
    <t>Task-15</t>
  </si>
  <si>
    <t>Deaprtment</t>
  </si>
  <si>
    <t>VLOOKUP Tasks (1–6)</t>
  </si>
  <si>
    <t>HLOOKUP Tasks (7–10)</t>
  </si>
  <si>
    <t>(Bonus Amount = Salary × Bonus %).</t>
  </si>
  <si>
    <t>XLOOKUP Tasks (11–15)</t>
  </si>
  <si>
    <r>
      <t>7. Find the </t>
    </r>
    <r>
      <rPr>
        <sz val="8"/>
        <color rgb="FF1F2328"/>
        <rFont val="Adani Regular"/>
      </rPr>
      <t>Bonus %</t>
    </r>
    <r>
      <rPr>
        <sz val="8"/>
        <color rgb="FF1F2328"/>
        <rFont val="Adani Regular"/>
      </rPr>
      <t> for </t>
    </r>
    <r>
      <rPr>
        <sz val="8"/>
        <color rgb="FF1F2328"/>
        <rFont val="Adani Regular"/>
      </rPr>
      <t>IT</t>
    </r>
    <r>
      <rPr>
        <sz val="8"/>
        <color rgb="FF1F2328"/>
        <rFont val="Adani Regular"/>
      </rPr>
      <t> department.</t>
    </r>
  </si>
  <si>
    <r>
      <t>2. Find the </t>
    </r>
    <r>
      <rPr>
        <sz val="8"/>
        <color rgb="FF1F2328"/>
        <rFont val="Adani Regular"/>
      </rPr>
      <t>Department</t>
    </r>
    <r>
      <rPr>
        <sz val="8"/>
        <color rgb="FF1F2328"/>
        <rFont val="Adani Regular"/>
      </rPr>
      <t> of employee with ID </t>
    </r>
    <r>
      <rPr>
        <sz val="8"/>
        <color rgb="FF1F2328"/>
        <rFont val="Adani Regular"/>
      </rPr>
      <t>E103</t>
    </r>
    <r>
      <rPr>
        <sz val="8"/>
        <color rgb="FF1F2328"/>
        <rFont val="Adani Regular"/>
      </rPr>
      <t>.</t>
    </r>
  </si>
  <si>
    <r>
      <t>8. Find the </t>
    </r>
    <r>
      <rPr>
        <sz val="8"/>
        <color rgb="FF1F2328"/>
        <rFont val="Adani Regular"/>
      </rPr>
      <t>Bonus %</t>
    </r>
    <r>
      <rPr>
        <sz val="8"/>
        <color rgb="FF1F2328"/>
        <rFont val="Adani Regular"/>
      </rPr>
      <t> for </t>
    </r>
    <r>
      <rPr>
        <sz val="8"/>
        <color rgb="FF1F2328"/>
        <rFont val="Adani Regular"/>
      </rPr>
      <t>Finance</t>
    </r>
    <r>
      <rPr>
        <sz val="8"/>
        <color rgb="FF1F2328"/>
        <rFont val="Adani Regular"/>
      </rPr>
      <t> department.</t>
    </r>
  </si>
  <si>
    <r>
      <t>12. Find </t>
    </r>
    <r>
      <rPr>
        <sz val="8"/>
        <color rgb="FF1F2328"/>
        <rFont val="Adani Regular"/>
      </rPr>
      <t>Department</t>
    </r>
    <r>
      <rPr>
        <sz val="8"/>
        <color rgb="FF1F2328"/>
        <rFont val="Adani Regular"/>
      </rPr>
      <t> using </t>
    </r>
    <r>
      <rPr>
        <sz val="8"/>
        <color rgb="FF1F2328"/>
        <rFont val="Adani Regular"/>
      </rPr>
      <t>Employee Name</t>
    </r>
    <r>
      <rPr>
        <sz val="8"/>
        <color rgb="FF1F2328"/>
        <rFont val="Adani Regular"/>
      </rPr>
      <t>.</t>
    </r>
  </si>
  <si>
    <r>
      <t>3. Find the </t>
    </r>
    <r>
      <rPr>
        <sz val="8"/>
        <color rgb="FF1F2328"/>
        <rFont val="Adani Regular"/>
      </rPr>
      <t>Salary</t>
    </r>
    <r>
      <rPr>
        <sz val="8"/>
        <color rgb="FF1F2328"/>
        <rFont val="Adani Regular"/>
      </rPr>
      <t> of employee </t>
    </r>
    <r>
      <rPr>
        <sz val="8"/>
        <color rgb="FF1F2328"/>
        <rFont val="Adani Regular"/>
      </rPr>
      <t>Neha Singh</t>
    </r>
    <r>
      <rPr>
        <sz val="8"/>
        <color rgb="FF1F2328"/>
        <rFont val="Adani Regular"/>
      </rPr>
      <t> using VLOOKUP.</t>
    </r>
  </si>
  <si>
    <r>
      <t>9. Calculate </t>
    </r>
    <r>
      <rPr>
        <sz val="8"/>
        <color rgb="FF1F2328"/>
        <rFont val="Adani Regular"/>
      </rPr>
      <t>Bonus Amount</t>
    </r>
    <r>
      <rPr>
        <sz val="8"/>
        <color rgb="FF1F2328"/>
        <rFont val="Adani Regular"/>
      </rPr>
      <t> for employee </t>
    </r>
    <r>
      <rPr>
        <sz val="8"/>
        <color rgb="FF1F2328"/>
        <rFont val="Adani Regular"/>
      </rPr>
      <t>E104</t>
    </r>
  </si>
  <si>
    <r>
      <t>13. Fetch </t>
    </r>
    <r>
      <rPr>
        <sz val="8"/>
        <color rgb="FF1F2328"/>
        <rFont val="Adani Regular"/>
      </rPr>
      <t>Location</t>
    </r>
    <r>
      <rPr>
        <sz val="8"/>
        <color rgb="FF1F2328"/>
        <rFont val="Adani Regular"/>
      </rPr>
      <t> of employee </t>
    </r>
    <r>
      <rPr>
        <sz val="8"/>
        <color rgb="FF1F2328"/>
        <rFont val="Adani Regular"/>
      </rPr>
      <t>Rohit Verma</t>
    </r>
    <r>
      <rPr>
        <sz val="8"/>
        <color rgb="FF1F2328"/>
        <rFont val="Adani Regular"/>
      </rPr>
      <t>.</t>
    </r>
  </si>
  <si>
    <r>
      <t>4. Get the </t>
    </r>
    <r>
      <rPr>
        <sz val="8"/>
        <color rgb="FF1F2328"/>
        <rFont val="Adani Regular"/>
      </rPr>
      <t>Location</t>
    </r>
    <r>
      <rPr>
        <sz val="8"/>
        <color rgb="FF1F2328"/>
        <rFont val="Adani Regular"/>
      </rPr>
      <t> of employee </t>
    </r>
    <r>
      <rPr>
        <sz val="8"/>
        <color rgb="FF1F2328"/>
        <rFont val="Adani Regular"/>
      </rPr>
      <t>E107</t>
    </r>
    <r>
      <rPr>
        <sz val="8"/>
        <color rgb="FF1F2328"/>
        <rFont val="Adani Regular"/>
      </rPr>
      <t>.</t>
    </r>
  </si>
  <si>
    <r>
      <t>10. If department is invalid, display </t>
    </r>
    <r>
      <rPr>
        <sz val="8"/>
        <color rgb="FF1F2328"/>
        <rFont val="Adani Regular"/>
      </rPr>
      <t>"No Bonus Data"</t>
    </r>
    <r>
      <rPr>
        <sz val="8"/>
        <color rgb="FF1F2328"/>
        <rFont val="Adani Regular"/>
      </rPr>
      <t>.</t>
    </r>
  </si>
  <si>
    <r>
      <t>6. Find the </t>
    </r>
    <r>
      <rPr>
        <sz val="8"/>
        <color rgb="FF1F2328"/>
        <rFont val="Adani Regular"/>
      </rPr>
      <t>JoiningYear</t>
    </r>
    <r>
      <rPr>
        <sz val="8"/>
        <color rgb="FF1F2328"/>
        <rFont val="Adani Regular"/>
      </rPr>
      <t> of employee </t>
    </r>
    <r>
      <rPr>
        <sz val="8"/>
        <color rgb="FF1F2328"/>
        <rFont val="Adani Regular"/>
      </rPr>
      <t>E101</t>
    </r>
    <r>
      <rPr>
        <sz val="8"/>
        <color rgb="FF1F2328"/>
        <rFont val="Adani Regular"/>
      </rPr>
      <t>.</t>
    </r>
  </si>
  <si>
    <r>
      <t>1. Find the </t>
    </r>
    <r>
      <rPr>
        <sz val="8"/>
        <color rgb="FF1F2328"/>
        <rFont val="Adani Regular"/>
      </rPr>
      <t>Name</t>
    </r>
    <r>
      <rPr>
        <sz val="8"/>
        <color rgb="FF1F2328"/>
        <rFont val="Adani Regular"/>
      </rPr>
      <t> of employee using EmployeeID from Search_Input.</t>
    </r>
  </si>
  <si>
    <r>
      <t>11. Find </t>
    </r>
    <r>
      <rPr>
        <sz val="8"/>
        <color rgb="FF1F2328"/>
        <rFont val="Adani Regular"/>
      </rPr>
      <t>Salary</t>
    </r>
    <r>
      <rPr>
        <sz val="8"/>
        <color rgb="FF1F2328"/>
        <rFont val="Adani Regular"/>
      </rPr>
      <t> using EmployeeID.</t>
    </r>
  </si>
  <si>
    <r>
      <t>14. If EmployeeID = E999, return </t>
    </r>
    <r>
      <rPr>
        <sz val="8"/>
        <color rgb="FF1F2328"/>
        <rFont val="Adani Regular"/>
      </rPr>
      <t>"Employee Not Found"</t>
    </r>
    <r>
      <rPr>
        <sz val="8"/>
        <color rgb="FF1F2328"/>
        <rFont val="Adani Regular"/>
      </rPr>
      <t>.</t>
    </r>
  </si>
  <si>
    <r>
      <t>5. If EmployeeID is not found, display </t>
    </r>
    <r>
      <rPr>
        <sz val="8"/>
        <color rgb="FF1F2328"/>
        <rFont val="Adani Regular"/>
      </rPr>
      <t>"Not Found"</t>
    </r>
    <r>
      <rPr>
        <sz val="8"/>
        <color rgb="FF1F2328"/>
        <rFont val="Adani Regular"/>
      </rPr>
      <t>.</t>
    </r>
  </si>
  <si>
    <r>
      <t>15. Find </t>
    </r>
    <r>
      <rPr>
        <sz val="8"/>
        <color rgb="FF1F2328"/>
        <rFont val="Adani Regular"/>
      </rPr>
      <t>Bonus %</t>
    </r>
    <r>
      <rPr>
        <sz val="8"/>
        <color rgb="FF1F2328"/>
        <rFont val="Adani Regular"/>
      </rPr>
      <t> using XLOOKUP from Department_Bonus (horizontal lookup).</t>
    </r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</si>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</sst>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rgb="FF1F2328"/>
      <name val="Adani Regular"/>
    </font>
    <font>
      <sz val="8"/>
      <color rgb="FF1F2328"/>
      <name val="Adani Regular"/>
    </font>
    <font>
      <b/>
      <sz val="8"/>
      <name val="Adani Regular"/>
    </font>
    <font>
      <sz val="8"/>
      <color theme="1"/>
      <name val="Adani Regular"/>
    </font>
    <font>
      <b/>
      <sz val="8"/>
      <color theme="1"/>
      <name val="Adani Regula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4" borderId="4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 wrapText="1"/>
    </xf>
    <xf numFmtId="0" fontId="3" fillId="4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2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9" fontId="2" fillId="2" borderId="1" xfId="0" applyNumberFormat="1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0" fontId="4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Adani Regular"/>
        <scheme val="none"/>
      </font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F2328"/>
        <name val="Adani Regular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2D7103-6294-4977-9DEA-FC754AC2E2C5}" name="Table3" displayName="Table3" ref="A1:G9" totalsRowShown="0" headerRowDxfId="1" dataDxfId="0" headerRowBorderDxfId="10" tableBorderDxfId="11" totalsRowBorderDxfId="9">
  <autoFilter ref="A1:G9" xr:uid="{1A2D7103-6294-4977-9DEA-FC754AC2E2C5}"/>
  <tableColumns count="7">
    <tableColumn id="1" xr3:uid="{C20CF0F8-3642-45B7-ADFE-67A08358F676}" name="EmployeeID" dataDxfId="8"/>
    <tableColumn id="2" xr3:uid="{4D5BD229-11E7-4E0C-AA34-CB05522F1544}" name="Name" dataDxfId="7"/>
    <tableColumn id="3" xr3:uid="{AB1FD1BF-54F8-458B-8A73-84BAC4C9AC50}" name="Department" dataDxfId="6"/>
    <tableColumn id="4" xr3:uid="{1153FDA2-58E5-490C-813A-96F51DC5E61B}" name="Location" dataDxfId="5"/>
    <tableColumn id="5" xr3:uid="{A9ED9E9B-5AC7-4AA3-B97B-6269A73E508A}" name="Salary" dataDxfId="4"/>
    <tableColumn id="6" xr3:uid="{7D2FBFEF-DB28-4624-A326-0342C83E039D}" name="JoiningYear" dataDxfId="3"/>
    <tableColumn id="7" xr3:uid="{1761C25F-D3CE-426F-A4A5-DCF2CE66D06F}" name="Bonus Amount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4D76-AC11-4286-8E8B-6AE2DB726320}">
  <dimension ref="A1:S47"/>
  <sheetViews>
    <sheetView tabSelected="1" topLeftCell="A4" zoomScale="92" zoomScaleNormal="92" workbookViewId="0">
      <selection activeCell="A14" sqref="A14"/>
    </sheetView>
  </sheetViews>
  <sheetFormatPr defaultRowHeight="11" x14ac:dyDescent="0.3"/>
  <cols>
    <col min="1" max="1" width="13.6328125" style="6" bestFit="1" customWidth="1"/>
    <col min="2" max="2" width="10.453125" style="6" bestFit="1" customWidth="1"/>
    <col min="3" max="3" width="12.90625" style="6" bestFit="1" customWidth="1"/>
    <col min="4" max="4" width="10.1796875" style="6" bestFit="1" customWidth="1"/>
    <col min="5" max="5" width="8.1796875" style="6" bestFit="1" customWidth="1"/>
    <col min="6" max="6" width="12.81640625" style="6" bestFit="1" customWidth="1"/>
    <col min="7" max="7" width="14.81640625" style="6" bestFit="1" customWidth="1"/>
    <col min="8" max="8" width="10.36328125" style="6" bestFit="1" customWidth="1"/>
    <col min="9" max="9" width="5.453125" style="6" bestFit="1" customWidth="1"/>
    <col min="10" max="10" width="3.1796875" style="6" bestFit="1" customWidth="1"/>
    <col min="11" max="11" width="3.54296875" style="6" bestFit="1" customWidth="1"/>
    <col min="12" max="12" width="7.08984375" style="6" bestFit="1" customWidth="1"/>
    <col min="13" max="13" width="8" style="6" bestFit="1" customWidth="1"/>
    <col min="14" max="15" width="8.7265625" style="6"/>
    <col min="16" max="16" width="6.1796875" style="6" bestFit="1" customWidth="1"/>
    <col min="17" max="17" width="10.6328125" style="6" bestFit="1" customWidth="1"/>
    <col min="18" max="18" width="15.81640625" style="6" bestFit="1" customWidth="1"/>
    <col min="19" max="19" width="11.1796875" style="6" bestFit="1" customWidth="1"/>
    <col min="20" max="16384" width="8.7265625" style="6"/>
  </cols>
  <sheetData>
    <row r="1" spans="1:18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48</v>
      </c>
      <c r="H1" s="4" t="s">
        <v>2</v>
      </c>
      <c r="I1" s="5" t="s">
        <v>8</v>
      </c>
      <c r="J1" s="5" t="s">
        <v>12</v>
      </c>
      <c r="K1" s="5" t="s">
        <v>16</v>
      </c>
      <c r="L1" s="5" t="s">
        <v>20</v>
      </c>
      <c r="M1" s="5" t="s">
        <v>24</v>
      </c>
    </row>
    <row r="2" spans="1:18" ht="22" x14ac:dyDescent="0.3">
      <c r="A2" s="7" t="s">
        <v>6</v>
      </c>
      <c r="B2" s="8" t="s">
        <v>7</v>
      </c>
      <c r="C2" s="8" t="s">
        <v>8</v>
      </c>
      <c r="D2" s="8" t="s">
        <v>9</v>
      </c>
      <c r="E2" s="8">
        <v>45000</v>
      </c>
      <c r="F2" s="8">
        <v>2019</v>
      </c>
      <c r="G2" s="9">
        <f>E2*I2</f>
        <v>4500</v>
      </c>
      <c r="H2" s="10" t="s">
        <v>33</v>
      </c>
      <c r="I2" s="11">
        <v>0.1</v>
      </c>
      <c r="J2" s="11">
        <v>0.08</v>
      </c>
      <c r="K2" s="11">
        <v>0.12</v>
      </c>
      <c r="L2" s="11">
        <v>0.15</v>
      </c>
      <c r="M2" s="11">
        <v>0.09</v>
      </c>
    </row>
    <row r="3" spans="1:18" ht="22" x14ac:dyDescent="0.3">
      <c r="A3" s="7" t="s">
        <v>10</v>
      </c>
      <c r="B3" s="8" t="s">
        <v>11</v>
      </c>
      <c r="C3" s="8" t="s">
        <v>12</v>
      </c>
      <c r="D3" s="8" t="s">
        <v>13</v>
      </c>
      <c r="E3" s="8">
        <v>52000</v>
      </c>
      <c r="F3" s="8">
        <v>2018</v>
      </c>
      <c r="G3" s="9">
        <f>E3*J2</f>
        <v>4160</v>
      </c>
      <c r="P3" s="6" t="s">
        <v>35</v>
      </c>
      <c r="Q3" s="12" t="s">
        <v>34</v>
      </c>
      <c r="R3" s="12" t="s">
        <v>1</v>
      </c>
    </row>
    <row r="4" spans="1:18" ht="22" x14ac:dyDescent="0.3">
      <c r="A4" s="7" t="s">
        <v>14</v>
      </c>
      <c r="B4" s="8" t="s">
        <v>15</v>
      </c>
      <c r="C4" s="8" t="s">
        <v>16</v>
      </c>
      <c r="D4" s="8" t="s">
        <v>17</v>
      </c>
      <c r="E4" s="8">
        <v>65000</v>
      </c>
      <c r="F4" s="8">
        <v>2020</v>
      </c>
      <c r="G4" s="9">
        <f>E4*K2</f>
        <v>7800</v>
      </c>
      <c r="H4" s="4" t="s">
        <v>0</v>
      </c>
      <c r="I4" s="5" t="s">
        <v>1</v>
      </c>
      <c r="Q4" s="13" t="s">
        <v>10</v>
      </c>
      <c r="R4" s="13" t="str">
        <f>VLOOKUP(Q4,A1:F9,2,0)</f>
        <v>Ananya Gupta</v>
      </c>
    </row>
    <row r="5" spans="1:18" ht="22" x14ac:dyDescent="0.3">
      <c r="A5" s="7" t="s">
        <v>18</v>
      </c>
      <c r="B5" s="8" t="s">
        <v>19</v>
      </c>
      <c r="C5" s="8" t="s">
        <v>20</v>
      </c>
      <c r="D5" s="8" t="s">
        <v>21</v>
      </c>
      <c r="E5" s="8">
        <v>58000</v>
      </c>
      <c r="F5" s="8">
        <v>2017</v>
      </c>
      <c r="G5" s="9">
        <f>E5*L2</f>
        <v>8700</v>
      </c>
      <c r="H5" s="10" t="s">
        <v>18</v>
      </c>
      <c r="I5" s="14" t="s">
        <v>15</v>
      </c>
    </row>
    <row r="6" spans="1:18" ht="22" x14ac:dyDescent="0.3">
      <c r="A6" s="7" t="s">
        <v>22</v>
      </c>
      <c r="B6" s="8" t="s">
        <v>23</v>
      </c>
      <c r="C6" s="8" t="s">
        <v>24</v>
      </c>
      <c r="D6" s="8" t="s">
        <v>9</v>
      </c>
      <c r="E6" s="8">
        <v>48000</v>
      </c>
      <c r="F6" s="8">
        <v>2021</v>
      </c>
      <c r="G6" s="9">
        <f>E6*M2</f>
        <v>4320</v>
      </c>
      <c r="P6" s="6" t="s">
        <v>36</v>
      </c>
      <c r="Q6" s="12" t="s">
        <v>34</v>
      </c>
      <c r="R6" s="12" t="s">
        <v>2</v>
      </c>
    </row>
    <row r="7" spans="1:18" ht="22" x14ac:dyDescent="0.3">
      <c r="A7" s="7" t="s">
        <v>25</v>
      </c>
      <c r="B7" s="8" t="s">
        <v>26</v>
      </c>
      <c r="C7" s="8" t="s">
        <v>16</v>
      </c>
      <c r="D7" s="8" t="s">
        <v>27</v>
      </c>
      <c r="E7" s="8">
        <v>62000</v>
      </c>
      <c r="F7" s="8">
        <v>2019</v>
      </c>
      <c r="G7" s="9">
        <f>E7*K2</f>
        <v>7440</v>
      </c>
      <c r="Q7" s="13" t="s">
        <v>14</v>
      </c>
      <c r="R7" s="13" t="str">
        <f>VLOOKUP(Q7,A1:F9,3,0)</f>
        <v>IT</v>
      </c>
    </row>
    <row r="8" spans="1:18" x14ac:dyDescent="0.3">
      <c r="A8" s="7" t="s">
        <v>28</v>
      </c>
      <c r="B8" s="8" t="s">
        <v>29</v>
      </c>
      <c r="C8" s="8" t="s">
        <v>8</v>
      </c>
      <c r="D8" s="8" t="s">
        <v>30</v>
      </c>
      <c r="E8" s="8">
        <v>47000</v>
      </c>
      <c r="F8" s="8">
        <v>2020</v>
      </c>
      <c r="G8" s="9">
        <f>E8*I2</f>
        <v>4700</v>
      </c>
    </row>
    <row r="9" spans="1:18" x14ac:dyDescent="0.3">
      <c r="A9" s="15" t="s">
        <v>31</v>
      </c>
      <c r="B9" s="16" t="s">
        <v>32</v>
      </c>
      <c r="C9" s="16" t="s">
        <v>12</v>
      </c>
      <c r="D9" s="16" t="s">
        <v>17</v>
      </c>
      <c r="E9" s="16">
        <v>54000</v>
      </c>
      <c r="F9" s="16">
        <v>2016</v>
      </c>
      <c r="G9" s="17">
        <f>E9*J2</f>
        <v>4320</v>
      </c>
      <c r="P9" s="6" t="s">
        <v>37</v>
      </c>
      <c r="Q9" s="12" t="s">
        <v>1</v>
      </c>
      <c r="R9" s="12" t="s">
        <v>4</v>
      </c>
    </row>
    <row r="10" spans="1:18" x14ac:dyDescent="0.3">
      <c r="Q10" s="18" t="s">
        <v>19</v>
      </c>
      <c r="R10" s="13">
        <f>VLOOKUP(Q10,B2:F9,4,0)</f>
        <v>58000</v>
      </c>
    </row>
    <row r="12" spans="1:18" x14ac:dyDescent="0.3">
      <c r="A12" s="6" t="s">
        <v>52</v>
      </c>
      <c r="B12" s="6" t="str" cm="1">
        <f t="array" ref="B12:G12">_xlfn.XLOOKUP(A12,A2:A9,B2:G9)</f>
        <v>Rahul Sharma</v>
      </c>
      <c r="C12" s="6" t="str">
        <v>Sales</v>
      </c>
      <c r="D12" s="6" t="str">
        <v>Mumbai</v>
      </c>
      <c r="E12" s="6">
        <v>45000</v>
      </c>
      <c r="F12" s="6">
        <v>2019</v>
      </c>
      <c r="G12" s="6">
        <v>4500</v>
      </c>
      <c r="P12" s="6" t="s">
        <v>38</v>
      </c>
      <c r="Q12" s="12" t="s">
        <v>34</v>
      </c>
      <c r="R12" s="12" t="s">
        <v>3</v>
      </c>
    </row>
    <row r="13" spans="1:18" x14ac:dyDescent="0.3">
      <c r="Q13" s="13" t="s">
        <v>28</v>
      </c>
      <c r="R13" s="13" t="str">
        <f>VLOOKUP(Q13,A1:F9,4,0)</f>
        <v>Hyderabad</v>
      </c>
    </row>
    <row r="14" spans="1:18" x14ac:dyDescent="0.3">
      <c r="A14" s="22" t="s">
        <v>78</v>
      </c>
    </row>
    <row r="15" spans="1:18" ht="33" x14ac:dyDescent="0.3">
      <c r="A15" s="20" t="s">
        <v>59</v>
      </c>
      <c r="B15" s="20" t="s">
        <v>60</v>
      </c>
      <c r="C15" s="20" t="s">
        <v>62</v>
      </c>
      <c r="P15" s="6" t="s">
        <v>39</v>
      </c>
      <c r="Q15" s="12" t="s">
        <v>34</v>
      </c>
      <c r="R15" s="12" t="s">
        <v>40</v>
      </c>
    </row>
    <row r="16" spans="1:18" ht="66" x14ac:dyDescent="0.3">
      <c r="A16" s="21" t="s">
        <v>73</v>
      </c>
      <c r="B16" s="21" t="s">
        <v>63</v>
      </c>
      <c r="C16" s="21" t="s">
        <v>74</v>
      </c>
      <c r="Q16" s="13" t="s">
        <v>41</v>
      </c>
      <c r="R16" s="13" t="str">
        <f>_xlfn.IFNA(VLOOKUP(Q16,A1:F9,4,FALSE),"Not Found")</f>
        <v>Not Found</v>
      </c>
    </row>
    <row r="17" spans="1:19" ht="66" x14ac:dyDescent="0.3">
      <c r="A17" s="21" t="s">
        <v>64</v>
      </c>
      <c r="B17" s="21" t="s">
        <v>65</v>
      </c>
      <c r="C17" s="21" t="s">
        <v>66</v>
      </c>
    </row>
    <row r="18" spans="1:19" ht="77" x14ac:dyDescent="0.3">
      <c r="A18" s="21" t="s">
        <v>67</v>
      </c>
      <c r="B18" s="21" t="s">
        <v>68</v>
      </c>
      <c r="C18" s="21" t="s">
        <v>69</v>
      </c>
      <c r="P18" s="6" t="s">
        <v>42</v>
      </c>
      <c r="Q18" s="12" t="s">
        <v>34</v>
      </c>
      <c r="R18" s="12" t="s">
        <v>43</v>
      </c>
    </row>
    <row r="19" spans="1:19" ht="66" x14ac:dyDescent="0.3">
      <c r="A19" s="21" t="s">
        <v>70</v>
      </c>
      <c r="B19" s="21" t="s">
        <v>61</v>
      </c>
      <c r="C19" s="21" t="s">
        <v>75</v>
      </c>
      <c r="Q19" s="13" t="s">
        <v>6</v>
      </c>
      <c r="R19" s="13">
        <f>VLOOKUP(Q19,A2:F9,6,0)</f>
        <v>2019</v>
      </c>
    </row>
    <row r="20" spans="1:19" ht="88" x14ac:dyDescent="0.3">
      <c r="A20" s="21" t="s">
        <v>76</v>
      </c>
      <c r="B20" s="21" t="s">
        <v>71</v>
      </c>
      <c r="C20" s="21" t="s">
        <v>77</v>
      </c>
    </row>
    <row r="21" spans="1:19" ht="44" x14ac:dyDescent="0.3">
      <c r="A21" s="21" t="s">
        <v>72</v>
      </c>
      <c r="B21" s="13"/>
      <c r="C21" s="13"/>
      <c r="P21" s="6" t="s">
        <v>44</v>
      </c>
      <c r="Q21" s="12" t="s">
        <v>2</v>
      </c>
      <c r="R21" s="12" t="s">
        <v>45</v>
      </c>
    </row>
    <row r="22" spans="1:19" x14ac:dyDescent="0.3">
      <c r="Q22" s="13" t="s">
        <v>16</v>
      </c>
      <c r="R22" s="19">
        <f>HLOOKUP(Q22,H1:M2,2,0)</f>
        <v>0.12</v>
      </c>
    </row>
    <row r="24" spans="1:19" x14ac:dyDescent="0.3">
      <c r="P24" s="6" t="s">
        <v>46</v>
      </c>
      <c r="Q24" s="12" t="s">
        <v>2</v>
      </c>
      <c r="R24" s="12" t="s">
        <v>45</v>
      </c>
    </row>
    <row r="25" spans="1:19" x14ac:dyDescent="0.3">
      <c r="Q25" s="13" t="s">
        <v>20</v>
      </c>
      <c r="R25" s="19">
        <f>HLOOKUP(Q25,H1:M2,2,0)</f>
        <v>0.15</v>
      </c>
    </row>
    <row r="27" spans="1:19" x14ac:dyDescent="0.3">
      <c r="P27" s="6" t="s">
        <v>47</v>
      </c>
      <c r="Q27" s="12" t="s">
        <v>34</v>
      </c>
      <c r="R27" s="12" t="s">
        <v>2</v>
      </c>
      <c r="S27" s="12" t="s">
        <v>48</v>
      </c>
    </row>
    <row r="28" spans="1:19" x14ac:dyDescent="0.3">
      <c r="Q28" s="13" t="s">
        <v>18</v>
      </c>
      <c r="R28" s="13" t="str">
        <f>VLOOKUP(Q28,A1:G9,3,0)</f>
        <v>Finance</v>
      </c>
      <c r="S28" s="13">
        <f>VLOOKUP(Q28,A1:G9,5,0)*HLOOKUP(R28,H1:M2,2,0)</f>
        <v>8700</v>
      </c>
    </row>
    <row r="30" spans="1:19" x14ac:dyDescent="0.3">
      <c r="P30" s="6" t="s">
        <v>49</v>
      </c>
      <c r="Q30" s="12" t="s">
        <v>2</v>
      </c>
      <c r="R30" s="12" t="s">
        <v>45</v>
      </c>
    </row>
    <row r="31" spans="1:19" x14ac:dyDescent="0.3">
      <c r="Q31" s="13" t="s">
        <v>50</v>
      </c>
      <c r="R31" s="13" t="str">
        <f>IFERROR(HLOOKUP(Q31,H1:M2,2,FALSE), " No Bonus Data ")</f>
        <v xml:space="preserve"> No Bonus Data </v>
      </c>
    </row>
    <row r="33" spans="16:18" x14ac:dyDescent="0.3">
      <c r="P33" s="6" t="s">
        <v>51</v>
      </c>
      <c r="Q33" s="12" t="s">
        <v>34</v>
      </c>
      <c r="R33" s="12" t="s">
        <v>4</v>
      </c>
    </row>
    <row r="34" spans="16:18" x14ac:dyDescent="0.3">
      <c r="Q34" s="13" t="s">
        <v>10</v>
      </c>
      <c r="R34" s="13">
        <f>_xlfn.XLOOKUP(Q34,A2:A9,E2:E9)</f>
        <v>52000</v>
      </c>
    </row>
    <row r="36" spans="16:18" x14ac:dyDescent="0.3">
      <c r="P36" s="6" t="s">
        <v>53</v>
      </c>
      <c r="Q36" s="12" t="s">
        <v>1</v>
      </c>
      <c r="R36" s="12" t="s">
        <v>2</v>
      </c>
    </row>
    <row r="37" spans="16:18" x14ac:dyDescent="0.3">
      <c r="Q37" s="13" t="s">
        <v>11</v>
      </c>
      <c r="R37" s="13" t="str">
        <f>_xlfn.XLOOKUP(Q37,B2:B9,C2:C9)</f>
        <v>HR</v>
      </c>
    </row>
    <row r="39" spans="16:18" x14ac:dyDescent="0.3">
      <c r="P39" s="6" t="s">
        <v>54</v>
      </c>
      <c r="Q39" s="12" t="s">
        <v>1</v>
      </c>
      <c r="R39" s="12" t="s">
        <v>3</v>
      </c>
    </row>
    <row r="40" spans="16:18" x14ac:dyDescent="0.3">
      <c r="Q40" s="13" t="s">
        <v>26</v>
      </c>
      <c r="R40" s="13" t="str">
        <f>_xlfn.XLOOKUP(Q40,B2:B9,D2:D9)</f>
        <v>Chennai</v>
      </c>
    </row>
    <row r="42" spans="16:18" x14ac:dyDescent="0.3">
      <c r="P42" s="6" t="s">
        <v>55</v>
      </c>
      <c r="Q42" s="12" t="s">
        <v>34</v>
      </c>
      <c r="R42" s="12"/>
    </row>
    <row r="43" spans="16:18" x14ac:dyDescent="0.3">
      <c r="Q43" s="13" t="s">
        <v>56</v>
      </c>
      <c r="R43" s="13" t="str" cm="1">
        <f t="array" ref="R43">_xlfn.XLOOKUP(Q43,A2:A9,B2:G9, "Employee Not Found")</f>
        <v>Employee Not Found</v>
      </c>
    </row>
    <row r="45" spans="16:18" x14ac:dyDescent="0.3">
      <c r="P45" s="6" t="s">
        <v>57</v>
      </c>
    </row>
    <row r="46" spans="16:18" x14ac:dyDescent="0.3">
      <c r="Q46" s="12" t="s">
        <v>58</v>
      </c>
      <c r="R46" s="12" t="s">
        <v>45</v>
      </c>
    </row>
    <row r="47" spans="16:18" x14ac:dyDescent="0.3">
      <c r="Q47" s="13" t="s">
        <v>24</v>
      </c>
      <c r="R47" s="19">
        <f>_xlfn.XLOOKUP(Q47,H1:M1,H2:M2)</f>
        <v>0.09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Panchal</dc:creator>
  <cp:lastModifiedBy>Neel Panchal</cp:lastModifiedBy>
  <dcterms:created xsi:type="dcterms:W3CDTF">2026-02-01T05:04:11Z</dcterms:created>
  <dcterms:modified xsi:type="dcterms:W3CDTF">2026-02-01T07:44:12Z</dcterms:modified>
</cp:coreProperties>
</file>